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9"/>
  </bookViews>
  <sheets>
    <sheet name="LM317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<sst xmlns="http://schemas.openxmlformats.org/spreadsheetml/2006/main" count="26" uniqueCount="18">
  <si>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LM317G 可调稳压器电阻计算表</t>
  </si>
  <si>
    <t>VOUT = VREF * (1 + R2/R1) + IADJ * R2    VREF=1.25V, IADJ~50uA</t>
  </si>
  <si>
    <t>VREF =</t>
  </si>
  <si>
    <t>V</t>
  </si>
  <si>
    <t>IADJ =</t>
  </si>
  <si>
    <t>R1 = 240 Ohm (datasheet typical)</t>
  </si>
  <si>
    <t>ADC</t>
  </si>
  <si>
    <t>R1 (Ohm)</t>
  </si>
  <si>
    <t>R2 (Ohm)</t>
  </si>
  <si>
    <t>VOUT (V)</t>
  </si>
  <si>
    <t>R1 = 120 Ohm (lower noise, better regulation)</t>
  </si>
  <si>
    <t>Custom R1/R2 (edit yellow/green cells, VOUT auto-calc)</t>
  </si>
  <si>
    <t>USAGE:</t>
  </si>
  <si>
    <t>1. VREF (C5) and IADJ (F5) are adjustable input parameters (blue, yellow bg)</t>
  </si>
  <si>
    <t>2. All R1 (yellow) and R2 (green) cells can be edited - VOUT recalculates automatically</t>
  </si>
  <si>
    <t>3. LM317 datasheet recommends R1 = 120 ~ 240 Ohm</t>
  </si>
  <si>
    <t>4. R2 = 0 gives VOUT = 1.25V (minimum output)</t>
  </si>
  <si>
    <t>5. To add rows: copy an existing row and edit the 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</si>
</sst>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</numFmts>
  <fonts count="29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sz val="9"/>
      <color rgb="FF666666"/>
      <name val="Arial"/>
      <charset val="134"/>
    </font>
    <font>
      <b/>
      <sz val="10"/>
      <name val="Arial"/>
      <charset val="134"/>
    </font>
    <font>
      <sz val="10"/>
      <color rgb="FF0000FF"/>
      <name val="Arial"/>
      <charset val="134"/>
    </font>
    <font>
      <b/>
      <sz val="12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9"/>
      <color rgb="FF555555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6" fontId="4" fillId="2" borderId="0" xfId="0" applyNumberFormat="1" applyFont="1" applyFill="1"/>
    <xf numFmtId="177" fontId="4" fillId="2" borderId="0" xfId="0" applyNumberFormat="1" applyFont="1" applyFill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3" fontId="7" fillId="6" borderId="1" xfId="0" applyNumberFormat="1" applyFont="1" applyFill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31"/>
  <sheetViews>
    <sheetView tabSelected="1" zoomScale="175" zoomScaleNormal="175" workbookViewId="0">
      <pane xSplit="1" ySplit="8" topLeftCell="B9" activePane="bottomRight" state="frozen"/>
      <selection/>
      <selection pane="topRight"/>
      <selection pane="bottomLeft"/>
      <selection pane="bottomRight" activeCell="F20" sqref="F20"/>
    </sheetView>
  </sheetViews>
  <sheetFormatPr defaultColWidth="9" defaultRowHeight="12.9" outlineLevelCol="5"/>
  <cols>
    <col min="1" max="1" width="4" customWidth="1"/>
    <col min="2" max="2" width="8" customWidth="1"/>
    <col min="3" max="3" width="14" customWidth="1"/>
    <col min="4" max="4" width="18" customWidth="1"/>
    <col min="5" max="5" width="16" customWidth="1"/>
    <col min="6" max="6" width="40" customWidth="1"/>
  </cols>
  <sheetData>
    <row r="2" ht="18.3" spans="2:6">
      <c r="B2" s="1" t="s">
        <v>0</v>
      </c>
    </row>
    <row r="3" spans="2:6">
      <c r="B3" s="2" t="s">
        <v>1</v>
      </c>
    </row>
    <row r="5" ht="13.55" spans="2:6">
      <c r="B5" s="3" t="s">
        <v>2</v>
      </c>
      <c r="C5" s="4">
        <v>1.25</v>
      </c>
      <c r="D5" s="3" t="s">
        <v>3</v>
      </c>
      <c r="E5" s="3" t="s">
        <v>4</v>
      </c>
      <c r="F5" s="5">
        <v>5e-5</v>
      </c>
    </row>
    <row r="8" ht="15.6" spans="2:6">
      <c r="B8" s="6" t="s">
        <v>5</v>
      </c>
    </row>
    <row r="9" ht="14.25" spans="2:6">
      <c r="B9" s="7" t="s">
        <v>6</v>
      </c>
      <c r="C9" s="7" t="s">
        <v>7</v>
      </c>
      <c r="D9" s="7" t="s">
        <v>8</v>
      </c>
      <c r="E9" s="7" t="s">
        <v>9</v>
      </c>
    </row>
    <row r="10" spans="2:6">
      <c r="B10" s="8">
        <v>0</v>
      </c>
      <c r="C10" s="9">
        <v>240</v>
      </c>
      <c r="D10" s="10">
        <v>0</v>
      </c>
      <c r="E10" s="11">
        <f t="shared" ref="E10:E52" si="0">$C$5*(1+D10/C10)+$F$5*D10</f>
        <v>1.25</v>
      </c>
    </row>
    <row r="11" spans="2:6">
      <c r="B11" s="8">
        <v>1</v>
      </c>
      <c r="C11" s="9">
        <v>240</v>
      </c>
      <c r="D11" s="10">
        <v>100</v>
      </c>
      <c r="E11" s="11">
        <f t="shared" si="0"/>
        <v>1.77583333333333</v>
      </c>
    </row>
    <row r="12" spans="2:6">
      <c r="B12" s="8">
        <v>2</v>
      </c>
      <c r="C12" s="9">
        <v>240</v>
      </c>
      <c r="D12" s="10">
        <v>200</v>
      </c>
      <c r="E12" s="11">
        <f t="shared" si="0"/>
        <v>2.30166666666667</v>
      </c>
    </row>
    <row r="13" spans="2:6">
      <c r="B13" s="8">
        <v>3</v>
      </c>
      <c r="C13" s="9">
        <v>240</v>
      </c>
      <c r="D13" s="10">
        <v>220</v>
      </c>
      <c r="E13" s="11">
        <f t="shared" si="0"/>
        <v>2.40683333333333</v>
      </c>
    </row>
    <row r="14" spans="2:6">
      <c r="B14" s="8">
        <v>4</v>
      </c>
      <c r="C14" s="9">
        <v>240</v>
      </c>
      <c r="D14" s="10">
        <v>240</v>
      </c>
      <c r="E14" s="11">
        <f t="shared" si="0"/>
        <v>2.512</v>
      </c>
    </row>
    <row r="15" spans="2:6">
      <c r="B15" s="8">
        <v>5</v>
      </c>
      <c r="C15" s="9">
        <v>240</v>
      </c>
      <c r="D15" s="10">
        <v>270</v>
      </c>
      <c r="E15" s="11">
        <f t="shared" si="0"/>
        <v>2.66975</v>
      </c>
    </row>
    <row r="16" spans="2:6">
      <c r="B16" s="8">
        <v>6</v>
      </c>
      <c r="C16" s="9">
        <v>240</v>
      </c>
      <c r="D16" s="10">
        <v>300</v>
      </c>
      <c r="E16" s="11">
        <f t="shared" si="0"/>
        <v>2.8275</v>
      </c>
    </row>
    <row r="17" spans="2:5">
      <c r="B17" s="8">
        <v>7</v>
      </c>
      <c r="C17" s="9">
        <v>240</v>
      </c>
      <c r="D17" s="10">
        <v>330</v>
      </c>
      <c r="E17" s="11">
        <f t="shared" si="0"/>
        <v>2.98525</v>
      </c>
    </row>
    <row r="18" spans="2:5">
      <c r="B18" s="8">
        <v>8</v>
      </c>
      <c r="C18" s="9">
        <v>240</v>
      </c>
      <c r="D18" s="10">
        <v>360</v>
      </c>
      <c r="E18" s="11">
        <f t="shared" si="0"/>
        <v>3.143</v>
      </c>
    </row>
    <row r="19" spans="2:5">
      <c r="B19" s="8">
        <v>9</v>
      </c>
      <c r="C19" s="9">
        <v>240</v>
      </c>
      <c r="D19" s="10">
        <v>390</v>
      </c>
      <c r="E19" s="11">
        <f t="shared" si="0"/>
        <v>3.30075</v>
      </c>
    </row>
    <row r="20" spans="2:5">
      <c r="B20" s="8">
        <v>10</v>
      </c>
      <c r="C20" s="9">
        <v>240</v>
      </c>
      <c r="D20" s="10">
        <v>430</v>
      </c>
      <c r="E20" s="11">
        <f t="shared" si="0"/>
        <v>3.51108333333333</v>
      </c>
    </row>
    <row r="21" spans="2:5">
      <c r="B21" s="8">
        <v>11</v>
      </c>
      <c r="C21" s="9">
        <v>240</v>
      </c>
      <c r="D21" s="10">
        <v>470</v>
      </c>
      <c r="E21" s="11">
        <f t="shared" si="0"/>
        <v>3.72141666666667</v>
      </c>
    </row>
    <row r="22" spans="2:5">
      <c r="B22" s="8">
        <v>12</v>
      </c>
      <c r="C22" s="9">
        <v>240</v>
      </c>
      <c r="D22" s="10">
        <v>510</v>
      </c>
      <c r="E22" s="11">
        <f t="shared" si="0"/>
        <v>3.93175</v>
      </c>
    </row>
    <row r="23" spans="2:5">
      <c r="B23" s="8">
        <v>13</v>
      </c>
      <c r="C23" s="9">
        <v>240</v>
      </c>
      <c r="D23" s="10">
        <v>560</v>
      </c>
      <c r="E23" s="11">
        <f t="shared" si="0"/>
        <v>4.19466666666667</v>
      </c>
    </row>
    <row r="24" spans="2:5">
      <c r="B24" s="8">
        <v>14</v>
      </c>
      <c r="C24" s="9">
        <v>240</v>
      </c>
      <c r="D24" s="10">
        <v>620</v>
      </c>
      <c r="E24" s="11">
        <f t="shared" si="0"/>
        <v>4.51016666666667</v>
      </c>
    </row>
    <row r="25" spans="2:5">
      <c r="B25" s="8">
        <v>15</v>
      </c>
      <c r="C25" s="9">
        <v>240</v>
      </c>
      <c r="D25" s="10">
        <v>680</v>
      </c>
      <c r="E25" s="11">
        <f t="shared" si="0"/>
        <v>4.82566666666667</v>
      </c>
    </row>
    <row r="26" spans="2:5">
      <c r="B26" s="8">
        <v>16</v>
      </c>
      <c r="C26" s="9">
        <v>240</v>
      </c>
      <c r="D26" s="10">
        <v>750</v>
      </c>
      <c r="E26" s="11">
        <f t="shared" si="0"/>
        <v>5.19375</v>
      </c>
    </row>
    <row r="27" spans="2:5">
      <c r="B27" s="8">
        <v>17</v>
      </c>
      <c r="C27" s="9">
        <v>240</v>
      </c>
      <c r="D27" s="10">
        <v>820</v>
      </c>
      <c r="E27" s="11">
        <f t="shared" si="0"/>
        <v>5.56183333333333</v>
      </c>
    </row>
    <row r="28" spans="2:5">
      <c r="B28" s="8">
        <v>18</v>
      </c>
      <c r="C28" s="9">
        <v>240</v>
      </c>
      <c r="D28" s="10">
        <v>910</v>
      </c>
      <c r="E28" s="11">
        <f t="shared" si="0"/>
        <v>6.03508333333333</v>
      </c>
    </row>
    <row r="29" spans="2:5">
      <c r="B29" s="8">
        <v>19</v>
      </c>
      <c r="C29" s="9">
        <v>240</v>
      </c>
      <c r="D29" s="10">
        <v>1000</v>
      </c>
      <c r="E29" s="11">
        <f t="shared" si="0"/>
        <v>6.50833333333333</v>
      </c>
    </row>
    <row r="30" spans="2:5">
      <c r="B30" s="8">
        <v>20</v>
      </c>
      <c r="C30" s="9">
        <v>240</v>
      </c>
      <c r="D30" s="10">
        <v>1100</v>
      </c>
      <c r="E30" s="11">
        <f t="shared" si="0"/>
        <v>7.03416666666667</v>
      </c>
    </row>
    <row r="31" spans="2:5">
      <c r="B31" s="8">
        <v>21</v>
      </c>
      <c r="C31" s="9">
        <v>240</v>
      </c>
      <c r="D31" s="10">
        <v>1200</v>
      </c>
      <c r="E31" s="11">
        <f t="shared" si="0"/>
        <v>7.56</v>
      </c>
    </row>
    <row r="32" spans="2:5">
      <c r="B32" s="8">
        <v>22</v>
      </c>
      <c r="C32" s="9">
        <v>240</v>
      </c>
      <c r="D32" s="10">
        <v>1300</v>
      </c>
      <c r="E32" s="11">
        <f t="shared" si="0"/>
        <v>8.08583333333333</v>
      </c>
    </row>
    <row r="33" spans="2:5">
      <c r="B33" s="8">
        <v>23</v>
      </c>
      <c r="C33" s="9">
        <v>240</v>
      </c>
      <c r="D33" s="10">
        <v>1500</v>
      </c>
      <c r="E33" s="11">
        <f t="shared" si="0"/>
        <v>9.1375</v>
      </c>
    </row>
    <row r="34" spans="2:5">
      <c r="B34" s="8">
        <v>24</v>
      </c>
      <c r="C34" s="9">
        <v>240</v>
      </c>
      <c r="D34" s="10">
        <v>1800</v>
      </c>
      <c r="E34" s="11">
        <f t="shared" si="0"/>
        <v>10.715</v>
      </c>
    </row>
    <row r="35" spans="2:5">
      <c r="B35" s="8">
        <v>25</v>
      </c>
      <c r="C35" s="9">
        <v>240</v>
      </c>
      <c r="D35" s="10">
        <v>2000</v>
      </c>
      <c r="E35" s="11">
        <f t="shared" si="0"/>
        <v>11.7666666666667</v>
      </c>
    </row>
    <row r="36" spans="2:5">
      <c r="B36" s="8">
        <v>26</v>
      </c>
      <c r="C36" s="9">
        <v>240</v>
      </c>
      <c r="D36" s="10">
        <v>2200</v>
      </c>
      <c r="E36" s="11">
        <f t="shared" si="0"/>
        <v>12.8183333333333</v>
      </c>
    </row>
    <row r="37" spans="2:5">
      <c r="B37" s="8">
        <v>27</v>
      </c>
      <c r="C37" s="9">
        <v>240</v>
      </c>
      <c r="D37" s="10">
        <v>2400</v>
      </c>
      <c r="E37" s="11">
        <f t="shared" si="0"/>
        <v>13.87</v>
      </c>
    </row>
    <row r="38" spans="2:5">
      <c r="B38" s="8">
        <v>28</v>
      </c>
      <c r="C38" s="9">
        <v>240</v>
      </c>
      <c r="D38" s="10">
        <v>2700</v>
      </c>
      <c r="E38" s="11">
        <f t="shared" si="0"/>
        <v>15.4475</v>
      </c>
    </row>
    <row r="39" spans="2:5">
      <c r="B39" s="8">
        <v>29</v>
      </c>
      <c r="C39" s="9">
        <v>240</v>
      </c>
      <c r="D39" s="10">
        <v>3000</v>
      </c>
      <c r="E39" s="11">
        <f t="shared" si="0"/>
        <v>17.025</v>
      </c>
    </row>
    <row r="40" spans="2:5">
      <c r="B40" s="8">
        <v>30</v>
      </c>
      <c r="C40" s="9">
        <v>240</v>
      </c>
      <c r="D40" s="10">
        <v>3300</v>
      </c>
      <c r="E40" s="11">
        <f t="shared" si="0"/>
        <v>18.6025</v>
      </c>
    </row>
    <row r="41" spans="2:5">
      <c r="B41" s="8">
        <v>31</v>
      </c>
      <c r="C41" s="9">
        <v>240</v>
      </c>
      <c r="D41" s="10">
        <v>3600</v>
      </c>
      <c r="E41" s="11">
        <f t="shared" si="0"/>
        <v>20.18</v>
      </c>
    </row>
    <row r="42" spans="2:5">
      <c r="B42" s="8">
        <v>32</v>
      </c>
      <c r="C42" s="9">
        <v>240</v>
      </c>
      <c r="D42" s="10">
        <v>3900</v>
      </c>
      <c r="E42" s="11">
        <f t="shared" si="0"/>
        <v>21.7575</v>
      </c>
    </row>
    <row r="43" spans="2:5">
      <c r="B43" s="8">
        <v>33</v>
      </c>
      <c r="C43" s="9">
        <v>240</v>
      </c>
      <c r="D43" s="10">
        <v>4300</v>
      </c>
      <c r="E43" s="11">
        <f t="shared" si="0"/>
        <v>23.8608333333333</v>
      </c>
    </row>
    <row r="44" spans="2:5">
      <c r="B44" s="8">
        <v>34</v>
      </c>
      <c r="C44" s="9">
        <v>240</v>
      </c>
      <c r="D44" s="10">
        <v>4700</v>
      </c>
      <c r="E44" s="11">
        <f t="shared" si="0"/>
        <v>25.9641666666667</v>
      </c>
    </row>
    <row r="45" spans="2:5">
      <c r="B45" s="8">
        <v>35</v>
      </c>
      <c r="C45" s="9">
        <v>240</v>
      </c>
      <c r="D45" s="10">
        <v>5100</v>
      </c>
      <c r="E45" s="11">
        <f t="shared" si="0"/>
        <v>28.0675</v>
      </c>
    </row>
    <row r="46" spans="2:5">
      <c r="B46" s="8">
        <v>36</v>
      </c>
      <c r="C46" s="9">
        <v>240</v>
      </c>
      <c r="D46" s="10">
        <v>5600</v>
      </c>
      <c r="E46" s="11">
        <f t="shared" si="0"/>
        <v>30.6966666666667</v>
      </c>
    </row>
    <row r="47" spans="2:5">
      <c r="B47" s="8">
        <v>37</v>
      </c>
      <c r="C47" s="9">
        <v>240</v>
      </c>
      <c r="D47" s="10">
        <v>6200</v>
      </c>
      <c r="E47" s="11">
        <f t="shared" si="0"/>
        <v>33.8516666666667</v>
      </c>
    </row>
    <row r="48" spans="2:5">
      <c r="B48" s="8">
        <v>38</v>
      </c>
      <c r="C48" s="9">
        <v>240</v>
      </c>
      <c r="D48" s="10">
        <v>6800</v>
      </c>
      <c r="E48" s="11">
        <f t="shared" si="0"/>
        <v>37.0066666666667</v>
      </c>
    </row>
    <row r="49" spans="2:5">
      <c r="B49" s="8">
        <v>39</v>
      </c>
      <c r="C49" s="9">
        <v>240</v>
      </c>
      <c r="D49" s="10">
        <v>7500</v>
      </c>
      <c r="E49" s="11">
        <f t="shared" si="0"/>
        <v>40.6875</v>
      </c>
    </row>
    <row r="50" spans="2:5">
      <c r="B50" s="8">
        <v>40</v>
      </c>
      <c r="C50" s="9">
        <v>240</v>
      </c>
      <c r="D50" s="10">
        <v>8200</v>
      </c>
      <c r="E50" s="11">
        <f t="shared" si="0"/>
        <v>44.3683333333333</v>
      </c>
    </row>
    <row r="51" spans="2:5">
      <c r="B51" s="8">
        <v>41</v>
      </c>
      <c r="C51" s="9">
        <v>240</v>
      </c>
      <c r="D51" s="10">
        <v>9100</v>
      </c>
      <c r="E51" s="11">
        <f t="shared" si="0"/>
        <v>49.1008333333333</v>
      </c>
    </row>
    <row r="52" spans="2:5">
      <c r="B52" s="8">
        <v>42</v>
      </c>
      <c r="C52" s="9">
        <v>240</v>
      </c>
      <c r="D52" s="10">
        <v>10000</v>
      </c>
      <c r="E52" s="11">
        <f t="shared" si="0"/>
        <v>53.8333333333333</v>
      </c>
    </row>
    <row r="55" ht="15.6" spans="2:5">
      <c r="B55" s="6" t="s">
        <v>10</v>
      </c>
    </row>
    <row r="56" ht="14.25" spans="2:5">
      <c r="B56" s="7" t="s">
        <v>6</v>
      </c>
      <c r="C56" s="7" t="s">
        <v>7</v>
      </c>
      <c r="D56" s="7" t="s">
        <v>8</v>
      </c>
      <c r="E56" s="7" t="s">
        <v>9</v>
      </c>
    </row>
    <row r="57" spans="2:5">
      <c r="B57" s="8">
        <v>0</v>
      </c>
      <c r="C57" s="9">
        <v>120</v>
      </c>
      <c r="D57" s="10">
        <v>0</v>
      </c>
      <c r="E57" s="11">
        <f t="shared" ref="E57:E100" si="1">$C$5*(1+D57/C57)+$F$5*D57</f>
        <v>1.25</v>
      </c>
    </row>
    <row r="58" spans="2:5">
      <c r="B58" s="8">
        <v>1</v>
      </c>
      <c r="C58" s="9">
        <v>120</v>
      </c>
      <c r="D58" s="10">
        <v>47</v>
      </c>
      <c r="E58" s="11">
        <f t="shared" si="1"/>
        <v>1.74193333333333</v>
      </c>
    </row>
    <row r="59" spans="2:5">
      <c r="B59" s="8">
        <v>2</v>
      </c>
      <c r="C59" s="9">
        <v>120</v>
      </c>
      <c r="D59" s="10">
        <v>68</v>
      </c>
      <c r="E59" s="11">
        <f t="shared" si="1"/>
        <v>1.96173333333333</v>
      </c>
    </row>
    <row r="60" spans="2:5">
      <c r="B60" s="8">
        <v>3</v>
      </c>
      <c r="C60" s="9">
        <v>120</v>
      </c>
      <c r="D60" s="10">
        <v>82</v>
      </c>
      <c r="E60" s="11">
        <f t="shared" si="1"/>
        <v>2.10826666666667</v>
      </c>
    </row>
    <row r="61" spans="2:5">
      <c r="B61" s="8">
        <v>4</v>
      </c>
      <c r="C61" s="9">
        <v>120</v>
      </c>
      <c r="D61" s="10">
        <v>100</v>
      </c>
      <c r="E61" s="11">
        <f t="shared" si="1"/>
        <v>2.29666666666667</v>
      </c>
    </row>
    <row r="62" spans="2:5">
      <c r="B62" s="8">
        <v>5</v>
      </c>
      <c r="C62" s="9">
        <v>120</v>
      </c>
      <c r="D62" s="10">
        <v>120</v>
      </c>
      <c r="E62" s="11">
        <f t="shared" si="1"/>
        <v>2.506</v>
      </c>
    </row>
    <row r="63" spans="2:5">
      <c r="B63" s="8">
        <v>6</v>
      </c>
      <c r="C63" s="9">
        <v>120</v>
      </c>
      <c r="D63" s="10">
        <v>150</v>
      </c>
      <c r="E63" s="11">
        <f t="shared" si="1"/>
        <v>2.82</v>
      </c>
    </row>
    <row r="64" spans="2:5">
      <c r="B64" s="8">
        <v>7</v>
      </c>
      <c r="C64" s="9">
        <v>120</v>
      </c>
      <c r="D64" s="10">
        <v>180</v>
      </c>
      <c r="E64" s="11">
        <f t="shared" si="1"/>
        <v>3.134</v>
      </c>
    </row>
    <row r="65" spans="2:5">
      <c r="B65" s="8">
        <v>8</v>
      </c>
      <c r="C65" s="9">
        <v>120</v>
      </c>
      <c r="D65" s="10">
        <v>200</v>
      </c>
      <c r="E65" s="11">
        <f t="shared" si="1"/>
        <v>3.34333333333333</v>
      </c>
    </row>
    <row r="66" spans="2:5">
      <c r="B66" s="8">
        <v>9</v>
      </c>
      <c r="C66" s="9">
        <v>120</v>
      </c>
      <c r="D66" s="10">
        <v>220</v>
      </c>
      <c r="E66" s="11">
        <f t="shared" si="1"/>
        <v>3.55266666666667</v>
      </c>
    </row>
    <row r="67" spans="2:5">
      <c r="B67" s="8">
        <v>10</v>
      </c>
      <c r="C67" s="9">
        <v>120</v>
      </c>
      <c r="D67" s="10">
        <v>240</v>
      </c>
      <c r="E67" s="11">
        <f t="shared" si="1"/>
        <v>3.762</v>
      </c>
    </row>
    <row r="68" spans="2:5">
      <c r="B68" s="8">
        <v>11</v>
      </c>
      <c r="C68" s="9">
        <v>120</v>
      </c>
      <c r="D68" s="10">
        <v>270</v>
      </c>
      <c r="E68" s="11">
        <f t="shared" si="1"/>
        <v>4.076</v>
      </c>
    </row>
    <row r="69" spans="2:5">
      <c r="B69" s="8">
        <v>12</v>
      </c>
      <c r="C69" s="9">
        <v>120</v>
      </c>
      <c r="D69" s="10">
        <v>300</v>
      </c>
      <c r="E69" s="11">
        <f t="shared" si="1"/>
        <v>4.39</v>
      </c>
    </row>
    <row r="70" spans="2:5">
      <c r="B70" s="8">
        <v>13</v>
      </c>
      <c r="C70" s="9">
        <v>120</v>
      </c>
      <c r="D70" s="10">
        <v>330</v>
      </c>
      <c r="E70" s="11">
        <f t="shared" si="1"/>
        <v>4.704</v>
      </c>
    </row>
    <row r="71" spans="2:5">
      <c r="B71" s="8">
        <v>14</v>
      </c>
      <c r="C71" s="9">
        <v>120</v>
      </c>
      <c r="D71" s="10">
        <v>360</v>
      </c>
      <c r="E71" s="11">
        <f t="shared" si="1"/>
        <v>5.018</v>
      </c>
    </row>
    <row r="72" spans="2:5">
      <c r="B72" s="8">
        <v>15</v>
      </c>
      <c r="C72" s="9">
        <v>120</v>
      </c>
      <c r="D72" s="10">
        <v>390</v>
      </c>
      <c r="E72" s="11">
        <f t="shared" si="1"/>
        <v>5.332</v>
      </c>
    </row>
    <row r="73" spans="2:5">
      <c r="B73" s="8">
        <v>16</v>
      </c>
      <c r="C73" s="9">
        <v>120</v>
      </c>
      <c r="D73" s="10">
        <v>430</v>
      </c>
      <c r="E73" s="11">
        <f t="shared" si="1"/>
        <v>5.75066666666667</v>
      </c>
    </row>
    <row r="74" spans="2:5">
      <c r="B74" s="8">
        <v>17</v>
      </c>
      <c r="C74" s="9">
        <v>120</v>
      </c>
      <c r="D74" s="10">
        <v>470</v>
      </c>
      <c r="E74" s="11">
        <f t="shared" si="1"/>
        <v>6.16933333333333</v>
      </c>
    </row>
    <row r="75" spans="2:5">
      <c r="B75" s="8">
        <v>18</v>
      </c>
      <c r="C75" s="9">
        <v>120</v>
      </c>
      <c r="D75" s="10">
        <v>510</v>
      </c>
      <c r="E75" s="11">
        <f t="shared" si="1"/>
        <v>6.588</v>
      </c>
    </row>
    <row r="76" spans="2:5">
      <c r="B76" s="8">
        <v>19</v>
      </c>
      <c r="C76" s="9">
        <v>120</v>
      </c>
      <c r="D76" s="10">
        <v>560</v>
      </c>
      <c r="E76" s="11">
        <f t="shared" si="1"/>
        <v>7.11133333333333</v>
      </c>
    </row>
    <row r="77" spans="2:5">
      <c r="B77" s="8">
        <v>20</v>
      </c>
      <c r="C77" s="9">
        <v>120</v>
      </c>
      <c r="D77" s="10">
        <v>620</v>
      </c>
      <c r="E77" s="11">
        <f t="shared" si="1"/>
        <v>7.73933333333333</v>
      </c>
    </row>
    <row r="78" spans="2:5">
      <c r="B78" s="8">
        <v>21</v>
      </c>
      <c r="C78" s="9">
        <v>120</v>
      </c>
      <c r="D78" s="10">
        <v>680</v>
      </c>
      <c r="E78" s="11">
        <f t="shared" si="1"/>
        <v>8.36733333333333</v>
      </c>
    </row>
    <row r="79" spans="2:5">
      <c r="B79" s="8">
        <v>22</v>
      </c>
      <c r="C79" s="9">
        <v>120</v>
      </c>
      <c r="D79" s="10">
        <v>750</v>
      </c>
      <c r="E79" s="11">
        <f t="shared" si="1"/>
        <v>9.1</v>
      </c>
    </row>
    <row r="80" spans="2:5">
      <c r="B80" s="8">
        <v>23</v>
      </c>
      <c r="C80" s="9">
        <v>120</v>
      </c>
      <c r="D80" s="10">
        <v>820</v>
      </c>
      <c r="E80" s="11">
        <f t="shared" si="1"/>
        <v>9.83266666666667</v>
      </c>
    </row>
    <row r="81" spans="2:5">
      <c r="B81" s="8">
        <v>24</v>
      </c>
      <c r="C81" s="9">
        <v>120</v>
      </c>
      <c r="D81" s="10">
        <v>910</v>
      </c>
      <c r="E81" s="11">
        <f t="shared" si="1"/>
        <v>10.7746666666667</v>
      </c>
    </row>
    <row r="82" spans="2:5">
      <c r="B82" s="8">
        <v>25</v>
      </c>
      <c r="C82" s="9">
        <v>120</v>
      </c>
      <c r="D82" s="10">
        <v>1000</v>
      </c>
      <c r="E82" s="11">
        <f t="shared" si="1"/>
        <v>11.7166666666667</v>
      </c>
    </row>
    <row r="83" spans="2:5">
      <c r="B83" s="8">
        <v>26</v>
      </c>
      <c r="C83" s="9">
        <v>120</v>
      </c>
      <c r="D83" s="10">
        <v>1100</v>
      </c>
      <c r="E83" s="11">
        <f t="shared" si="1"/>
        <v>12.7633333333333</v>
      </c>
    </row>
    <row r="84" spans="2:5">
      <c r="B84" s="8">
        <v>27</v>
      </c>
      <c r="C84" s="9">
        <v>120</v>
      </c>
      <c r="D84" s="10">
        <v>1200</v>
      </c>
      <c r="E84" s="11">
        <f t="shared" si="1"/>
        <v>13.81</v>
      </c>
    </row>
    <row r="85" spans="2:5">
      <c r="B85" s="8">
        <v>28</v>
      </c>
      <c r="C85" s="9">
        <v>120</v>
      </c>
      <c r="D85" s="10">
        <v>1500</v>
      </c>
      <c r="E85" s="11">
        <f t="shared" si="1"/>
        <v>16.95</v>
      </c>
    </row>
    <row r="86" spans="2:5">
      <c r="B86" s="8">
        <v>29</v>
      </c>
      <c r="C86" s="9">
        <v>120</v>
      </c>
      <c r="D86" s="10">
        <v>1800</v>
      </c>
      <c r="E86" s="11">
        <f t="shared" si="1"/>
        <v>20.09</v>
      </c>
    </row>
    <row r="87" spans="2:5">
      <c r="B87" s="8">
        <v>30</v>
      </c>
      <c r="C87" s="9">
        <v>120</v>
      </c>
      <c r="D87" s="10">
        <v>2000</v>
      </c>
      <c r="E87" s="11">
        <f t="shared" si="1"/>
        <v>22.1833333333333</v>
      </c>
    </row>
    <row r="88" spans="2:5">
      <c r="B88" s="8">
        <v>31</v>
      </c>
      <c r="C88" s="9">
        <v>120</v>
      </c>
      <c r="D88" s="10">
        <v>2200</v>
      </c>
      <c r="E88" s="11">
        <f t="shared" si="1"/>
        <v>24.2766666666667</v>
      </c>
    </row>
    <row r="89" spans="2:5">
      <c r="B89" s="8">
        <v>32</v>
      </c>
      <c r="C89" s="9">
        <v>120</v>
      </c>
      <c r="D89" s="10">
        <v>2400</v>
      </c>
      <c r="E89" s="11">
        <f t="shared" si="1"/>
        <v>26.37</v>
      </c>
    </row>
    <row r="90" spans="2:5">
      <c r="B90" s="8">
        <v>33</v>
      </c>
      <c r="C90" s="9">
        <v>120</v>
      </c>
      <c r="D90" s="10">
        <v>2700</v>
      </c>
      <c r="E90" s="11">
        <f t="shared" si="1"/>
        <v>29.51</v>
      </c>
    </row>
    <row r="91" spans="2:5">
      <c r="B91" s="8">
        <v>34</v>
      </c>
      <c r="C91" s="9">
        <v>120</v>
      </c>
      <c r="D91" s="10">
        <v>3000</v>
      </c>
      <c r="E91" s="11">
        <f t="shared" si="1"/>
        <v>32.65</v>
      </c>
    </row>
    <row r="92" spans="2:5">
      <c r="B92" s="8">
        <v>35</v>
      </c>
      <c r="C92" s="9">
        <v>120</v>
      </c>
      <c r="D92" s="10">
        <v>3300</v>
      </c>
      <c r="E92" s="11">
        <f t="shared" si="1"/>
        <v>35.79</v>
      </c>
    </row>
    <row r="93" spans="2:5">
      <c r="B93" s="8">
        <v>36</v>
      </c>
      <c r="C93" s="9">
        <v>120</v>
      </c>
      <c r="D93" s="10">
        <v>3600</v>
      </c>
      <c r="E93" s="11">
        <f t="shared" si="1"/>
        <v>38.93</v>
      </c>
    </row>
    <row r="94" spans="2:5">
      <c r="B94" s="8">
        <v>37</v>
      </c>
      <c r="C94" s="9">
        <v>120</v>
      </c>
      <c r="D94" s="10">
        <v>3900</v>
      </c>
      <c r="E94" s="11">
        <f t="shared" si="1"/>
        <v>42.07</v>
      </c>
    </row>
    <row r="95" spans="2:5">
      <c r="B95" s="8">
        <v>38</v>
      </c>
      <c r="C95" s="9">
        <v>120</v>
      </c>
      <c r="D95" s="10">
        <v>4700</v>
      </c>
      <c r="E95" s="11">
        <f t="shared" si="1"/>
        <v>50.4433333333333</v>
      </c>
    </row>
    <row r="96" spans="2:5">
      <c r="B96" s="8">
        <v>39</v>
      </c>
      <c r="C96" s="9">
        <v>120</v>
      </c>
      <c r="D96" s="10">
        <v>5100</v>
      </c>
      <c r="E96" s="11">
        <f t="shared" si="1"/>
        <v>54.63</v>
      </c>
    </row>
    <row r="97" spans="2:5">
      <c r="B97" s="8">
        <v>40</v>
      </c>
      <c r="C97" s="9">
        <v>120</v>
      </c>
      <c r="D97" s="10">
        <v>5600</v>
      </c>
      <c r="E97" s="11">
        <f t="shared" si="1"/>
        <v>59.8633333333333</v>
      </c>
    </row>
    <row r="98" spans="2:5">
      <c r="B98" s="8">
        <v>41</v>
      </c>
      <c r="C98" s="9">
        <v>120</v>
      </c>
      <c r="D98" s="10">
        <v>6800</v>
      </c>
      <c r="E98" s="11">
        <f t="shared" si="1"/>
        <v>72.4233333333333</v>
      </c>
    </row>
    <row r="99" spans="2:5">
      <c r="B99" s="8">
        <v>42</v>
      </c>
      <c r="C99" s="9">
        <v>120</v>
      </c>
      <c r="D99" s="10">
        <v>8200</v>
      </c>
      <c r="E99" s="11">
        <f t="shared" si="1"/>
        <v>87.0766666666667</v>
      </c>
    </row>
    <row r="100" spans="2:5">
      <c r="B100" s="8">
        <v>43</v>
      </c>
      <c r="C100" s="9">
        <v>120</v>
      </c>
      <c r="D100" s="10">
        <v>10000</v>
      </c>
      <c r="E100" s="11">
        <f t="shared" si="1"/>
        <v>105.916666666667</v>
      </c>
    </row>
    <row r="103" ht="15.6" spans="2:5">
      <c r="B103" s="6" t="s">
        <v>11</v>
      </c>
    </row>
    <row r="104" ht="14.25" spans="2:5">
      <c r="B104" s="7" t="s">
        <v>6</v>
      </c>
      <c r="C104" s="7" t="s">
        <v>7</v>
      </c>
      <c r="D104" s="7" t="s">
        <v>8</v>
      </c>
      <c r="E104" s="7" t="s">
        <v>9</v>
      </c>
    </row>
    <row r="105" spans="2:5">
      <c r="B105" s="8">
        <v>0</v>
      </c>
      <c r="C105" s="9">
        <v>240</v>
      </c>
      <c r="D105" s="10">
        <v>390</v>
      </c>
      <c r="E105" s="11">
        <f t="shared" ref="E105:E123" si="2">$C$5*(1+D105/C105)+$F$5*D105</f>
        <v>3.30075</v>
      </c>
    </row>
    <row r="106" spans="2:5">
      <c r="B106" s="8">
        <v>1</v>
      </c>
      <c r="C106" s="9">
        <v>240</v>
      </c>
      <c r="D106" s="10">
        <v>720</v>
      </c>
      <c r="E106" s="11">
        <f t="shared" si="2"/>
        <v>5.036</v>
      </c>
    </row>
    <row r="107" spans="2:5">
      <c r="B107" s="8">
        <v>2</v>
      </c>
      <c r="C107" s="9">
        <v>240</v>
      </c>
      <c r="D107" s="10">
        <v>1500</v>
      </c>
      <c r="E107" s="11">
        <f t="shared" si="2"/>
        <v>9.1375</v>
      </c>
    </row>
    <row r="108" spans="2:5">
      <c r="B108" s="8">
        <v>3</v>
      </c>
      <c r="C108" s="9">
        <v>240</v>
      </c>
      <c r="D108" s="10">
        <v>2200</v>
      </c>
      <c r="E108" s="11">
        <f t="shared" si="2"/>
        <v>12.8183333333333</v>
      </c>
    </row>
    <row r="109" spans="2:5">
      <c r="B109" s="8">
        <v>4</v>
      </c>
      <c r="C109" s="9">
        <v>240</v>
      </c>
      <c r="D109" s="10">
        <v>3300</v>
      </c>
      <c r="E109" s="11">
        <f t="shared" si="2"/>
        <v>18.6025</v>
      </c>
    </row>
    <row r="110" spans="2:5">
      <c r="B110" s="8">
        <v>5</v>
      </c>
      <c r="C110" s="9">
        <v>240</v>
      </c>
      <c r="D110" s="10">
        <v>4700</v>
      </c>
      <c r="E110" s="11">
        <f t="shared" si="2"/>
        <v>25.9641666666667</v>
      </c>
    </row>
    <row r="111" spans="2:5">
      <c r="B111" s="8">
        <v>6</v>
      </c>
      <c r="C111" s="9">
        <v>240</v>
      </c>
      <c r="D111" s="10">
        <v>6800</v>
      </c>
      <c r="E111" s="11">
        <f t="shared" si="2"/>
        <v>37.0066666666667</v>
      </c>
    </row>
    <row r="112" spans="2:5">
      <c r="B112" s="8">
        <v>7</v>
      </c>
      <c r="C112" s="9">
        <v>120</v>
      </c>
      <c r="D112" s="10">
        <v>200</v>
      </c>
      <c r="E112" s="11">
        <f t="shared" si="2"/>
        <v>3.34333333333333</v>
      </c>
    </row>
    <row r="113" spans="2:5">
      <c r="B113" s="8">
        <v>8</v>
      </c>
      <c r="C113" s="9">
        <v>120</v>
      </c>
      <c r="D113" s="10">
        <v>360</v>
      </c>
      <c r="E113" s="11">
        <f t="shared" si="2"/>
        <v>5.018</v>
      </c>
    </row>
    <row r="114" spans="2:5">
      <c r="B114" s="8">
        <v>9</v>
      </c>
      <c r="C114" s="9">
        <v>120</v>
      </c>
      <c r="D114" s="10">
        <v>680</v>
      </c>
      <c r="E114" s="11">
        <f t="shared" si="2"/>
        <v>8.36733333333333</v>
      </c>
    </row>
    <row r="115" spans="2:5">
      <c r="B115" s="8">
        <v>10</v>
      </c>
      <c r="C115" s="9">
        <v>120</v>
      </c>
      <c r="D115" s="10">
        <v>1200</v>
      </c>
      <c r="E115" s="11">
        <f t="shared" si="2"/>
        <v>13.81</v>
      </c>
    </row>
    <row r="116" spans="2:5">
      <c r="B116" s="8">
        <v>11</v>
      </c>
      <c r="C116" s="9">
        <v>120</v>
      </c>
      <c r="D116" s="10">
        <v>2200</v>
      </c>
      <c r="E116" s="11">
        <f t="shared" si="2"/>
        <v>24.2766666666667</v>
      </c>
    </row>
    <row r="117" spans="2:5">
      <c r="B117" s="8">
        <v>12</v>
      </c>
      <c r="C117" s="9">
        <v>120</v>
      </c>
      <c r="D117" s="10">
        <v>4700</v>
      </c>
      <c r="E117" s="11">
        <f t="shared" si="2"/>
        <v>50.4433333333333</v>
      </c>
    </row>
    <row r="118" spans="2:5">
      <c r="B118" s="8">
        <v>13</v>
      </c>
      <c r="C118" s="9">
        <v>180</v>
      </c>
      <c r="D118" s="10">
        <v>680</v>
      </c>
      <c r="E118" s="11">
        <f t="shared" si="2"/>
        <v>6.00622222222222</v>
      </c>
    </row>
    <row r="119" spans="2:5">
      <c r="B119" s="8">
        <v>14</v>
      </c>
      <c r="C119" s="9">
        <v>180</v>
      </c>
      <c r="D119" s="10">
        <v>1200</v>
      </c>
      <c r="E119" s="11">
        <f t="shared" si="2"/>
        <v>9.64333333333333</v>
      </c>
    </row>
    <row r="120" spans="2:5">
      <c r="B120" s="8">
        <v>15</v>
      </c>
      <c r="C120" s="9">
        <v>330</v>
      </c>
      <c r="D120" s="10">
        <v>680</v>
      </c>
      <c r="E120" s="11">
        <f t="shared" si="2"/>
        <v>3.85975757575758</v>
      </c>
    </row>
    <row r="121" spans="2:5">
      <c r="B121" s="8">
        <v>16</v>
      </c>
      <c r="C121" s="9">
        <v>330</v>
      </c>
      <c r="D121" s="10">
        <v>1200</v>
      </c>
      <c r="E121" s="11">
        <f t="shared" si="2"/>
        <v>5.85545454545455</v>
      </c>
    </row>
    <row r="122" spans="2:5">
      <c r="B122" s="8">
        <v>17</v>
      </c>
      <c r="C122" s="9">
        <v>470</v>
      </c>
      <c r="D122" s="10">
        <v>820</v>
      </c>
      <c r="E122" s="11">
        <f t="shared" si="2"/>
        <v>3.47185106382979</v>
      </c>
    </row>
    <row r="123" spans="2:5">
      <c r="B123" s="8">
        <v>18</v>
      </c>
      <c r="C123" s="9">
        <v>470</v>
      </c>
      <c r="D123" s="10">
        <v>1500</v>
      </c>
      <c r="E123" s="11">
        <f t="shared" si="2"/>
        <v>5.31436170212766</v>
      </c>
    </row>
    <row r="126" spans="2:5">
      <c r="B126" s="12" t="s">
        <v>12</v>
      </c>
    </row>
    <row r="127" spans="2:5">
      <c r="B127" s="12" t="s">
        <v>13</v>
      </c>
    </row>
    <row r="128" spans="2:5">
      <c r="B128" s="12" t="s">
        <v>14</v>
      </c>
    </row>
    <row r="129" spans="2:2">
      <c r="B129" s="12" t="s">
        <v>15</v>
      </c>
    </row>
    <row r="130" spans="2:2">
      <c r="B130" s="12" t="s">
        <v>16</v>
      </c>
    </row>
    <row r="131" spans="2:2">
      <c r="B131" s="12" t="s">
        <v>17</v>
      </c>
    </row>
  </sheetData>
  <mergeCells count="11">
    <mergeCell ref="B2:E2"/>
    <mergeCell ref="B3:F3"/>
    <mergeCell ref="B8:E8"/>
    <mergeCell ref="B55:E55"/>
    <mergeCell ref="B103:E103"/>
    <mergeCell ref="B126:F126"/>
    <mergeCell ref="B127:F127"/>
    <mergeCell ref="B128:F128"/>
    <mergeCell ref="B129:F129"/>
    <mergeCell ref="B130:F130"/>
    <mergeCell ref="B131:F1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LM317G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无言尽语</cp:lastModifiedBy>
  <dcterms:created xsi:type="dcterms:W3CDTF">2026-05-03T15:49:00Z</dcterms:created>
  <dcterms:modified xsi:type="dcterms:W3CDTF">2026-05-03T16:15:53Z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4FF08776238E4B9F8200C756CE1AAB74_12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