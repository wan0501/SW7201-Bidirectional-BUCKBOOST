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<sst xmlns="http://schemas.openxmlformats.org/spreadsheetml/2006/main" count="35" uniqueCount="34">
  <si>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inmax</t>
    </r>
    <r>
      <rPr>
        <sz val="11"/>
        <color theme="1"/>
        <rFont val="宋体"/>
        <charset val="134"/>
        <scheme val="minor"/>
      </rPr>
      <t>(V)</t>
    </r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</si>
  <si>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inmin</t>
    </r>
    <r>
      <rPr>
        <sz val="11"/>
        <color theme="1"/>
        <rFont val="宋体"/>
        <charset val="134"/>
        <scheme val="minor"/>
      </rPr>
      <t>(V)</t>
    </r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</si>
  <si>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nom</t>
    </r>
    <r>
      <rPr>
        <sz val="11"/>
        <color theme="1"/>
        <rFont val="宋体"/>
        <charset val="134"/>
        <scheme val="minor"/>
      </rPr>
      <t>(V)</t>
    </r>
  </si>
  <si>
    <r>
      <rPr>
        <sz val="11"/>
        <color theme="1"/>
        <rFont val="宋体"/>
        <charset val="134"/>
        <scheme val="minor"/>
      </rPr>
      <t>I</t>
    </r>
    <r>
      <rPr>
        <vertAlign val="subscript"/>
        <sz val="11"/>
        <color theme="1"/>
        <rFont val="宋体"/>
        <charset val="134"/>
        <scheme val="minor"/>
      </rPr>
      <t>inmax</t>
    </r>
    <r>
      <rPr>
        <sz val="11"/>
        <color theme="1"/>
        <rFont val="宋体"/>
        <charset val="134"/>
        <scheme val="minor"/>
      </rPr>
      <t>(A)</t>
    </r>
  </si>
  <si>
    <r>
      <rPr>
        <sz val="11"/>
        <color theme="1"/>
        <rFont val="宋体"/>
        <charset val="134"/>
        <scheme val="minor"/>
      </rPr>
      <t>I</t>
    </r>
    <r>
      <rPr>
        <vertAlign val="subscript"/>
        <sz val="11"/>
        <color theme="1"/>
        <rFont val="宋体"/>
        <charset val="134"/>
        <scheme val="minor"/>
      </rPr>
      <t>inmin</t>
    </r>
    <r>
      <rPr>
        <sz val="11"/>
        <color theme="1"/>
        <rFont val="宋体"/>
        <charset val="134"/>
        <scheme val="minor"/>
      </rPr>
      <t>(A)</t>
    </r>
  </si>
  <si>
    <r>
      <rPr>
        <sz val="11"/>
        <color theme="1"/>
        <rFont val="宋体"/>
        <charset val="134"/>
        <scheme val="minor"/>
      </rPr>
      <t>P</t>
    </r>
    <r>
      <rPr>
        <vertAlign val="subscript"/>
        <sz val="11"/>
        <color theme="1"/>
        <rFont val="宋体"/>
        <charset val="134"/>
        <scheme val="minor"/>
      </rPr>
      <t>out</t>
    </r>
    <r>
      <rPr>
        <sz val="11"/>
        <color theme="1"/>
        <rFont val="宋体"/>
        <charset val="134"/>
        <scheme val="minor"/>
      </rPr>
      <t>(W)</t>
    </r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</si>
  <si>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outmax(</t>
    </r>
    <r>
      <rPr>
        <sz val="11"/>
        <color theme="1"/>
        <rFont val="宋体"/>
        <charset val="134"/>
        <scheme val="minor"/>
      </rPr>
      <t>V)</t>
    </r>
  </si>
  <si>
    <r>
      <rPr>
        <sz val="11"/>
        <color theme="1"/>
        <rFont val="宋体"/>
        <charset val="134"/>
        <scheme val="minor"/>
      </rPr>
      <t>V</t>
    </r>
    <r>
      <rPr>
        <vertAlign val="subscript"/>
        <sz val="11"/>
        <color theme="1"/>
        <rFont val="宋体"/>
        <charset val="134"/>
        <scheme val="minor"/>
      </rPr>
      <t>outmin</t>
    </r>
    <r>
      <rPr>
        <sz val="11"/>
        <color theme="1"/>
        <rFont val="宋体"/>
        <charset val="134"/>
        <scheme val="minor"/>
      </rPr>
      <t>(V)</t>
    </r>
  </si>
  <si>
    <r>
      <rPr>
        <sz val="11"/>
        <color theme="1"/>
        <rFont val="宋体"/>
        <charset val="134"/>
        <scheme val="minor"/>
      </rPr>
      <t>I</t>
    </r>
    <r>
      <rPr>
        <vertAlign val="subscript"/>
        <sz val="11"/>
        <color theme="1"/>
        <rFont val="宋体"/>
        <charset val="134"/>
        <scheme val="minor"/>
      </rPr>
      <t>outmax</t>
    </r>
    <r>
      <rPr>
        <sz val="11"/>
        <color theme="1"/>
        <rFont val="宋体"/>
        <charset val="134"/>
        <scheme val="minor"/>
      </rPr>
      <t>(A)</t>
    </r>
  </si>
  <si>
    <r>
      <rPr>
        <sz val="11"/>
        <color theme="1"/>
        <rFont val="宋体"/>
        <charset val="134"/>
        <scheme val="minor"/>
      </rPr>
      <t>I</t>
    </r>
    <r>
      <rPr>
        <vertAlign val="subscript"/>
        <sz val="11"/>
        <color theme="1"/>
        <rFont val="宋体"/>
        <charset val="134"/>
        <scheme val="minor"/>
      </rPr>
      <t>outmin</t>
    </r>
    <r>
      <rPr>
        <sz val="11"/>
        <color theme="1"/>
        <rFont val="宋体"/>
        <charset val="134"/>
        <scheme val="minor"/>
      </rPr>
      <t>(A)</t>
    </r>
  </si>
  <si>
    <r>
      <rPr>
        <sz val="11"/>
        <color theme="1"/>
        <rFont val="宋体"/>
        <charset val="134"/>
        <scheme val="minor"/>
      </rPr>
      <t>I</t>
    </r>
    <r>
      <rPr>
        <vertAlign val="subscript"/>
        <sz val="11"/>
        <color theme="1"/>
        <rFont val="宋体"/>
        <charset val="134"/>
        <scheme val="minor"/>
      </rPr>
      <t>outnom</t>
    </r>
    <r>
      <rPr>
        <sz val="11"/>
        <color theme="1"/>
        <rFont val="宋体"/>
        <charset val="134"/>
        <scheme val="minor"/>
      </rPr>
      <t>(A)</t>
    </r>
  </si>
  <si>
    <r>
      <rPr>
        <sz val="11"/>
        <color theme="1"/>
        <rFont val="宋体"/>
        <charset val="134"/>
        <scheme val="minor"/>
      </rPr>
      <t>输出电压纹波ΔV</t>
    </r>
    <r>
      <rPr>
        <vertAlign val="subscript"/>
        <sz val="11"/>
        <color theme="1"/>
        <rFont val="宋体"/>
        <charset val="134"/>
        <scheme val="minor"/>
      </rPr>
      <t>OUT</t>
    </r>
    <r>
      <rPr>
        <sz val="11"/>
        <color theme="1"/>
        <rFont val="宋体"/>
        <charset val="134"/>
        <scheme val="minor"/>
      </rPr>
      <t>(V)</t>
    </r>
  </si>
  <si>
    <r>
      <rPr>
        <sz val="11"/>
        <color theme="1"/>
        <rFont val="宋体"/>
        <charset val="134"/>
        <scheme val="minor"/>
      </rPr>
      <t>开关频率f</t>
    </r>
    <r>
      <rPr>
        <vertAlign val="subscript"/>
        <sz val="11"/>
        <color theme="1"/>
        <rFont val="宋体"/>
        <charset val="134"/>
        <scheme val="minor"/>
      </rPr>
      <t>s（KHz）</t>
    </r>
  </si>
  <si>
    <t>情况一：BUCK降压模式参数</t>
  </si>
  <si>
    <r>
      <rPr>
        <sz val="11"/>
        <color theme="1"/>
        <rFont val="宋体"/>
        <charset val="134"/>
        <scheme val="minor"/>
      </rPr>
      <t>D</t>
    </r>
    <r>
      <rPr>
        <vertAlign val="subscript"/>
        <sz val="11"/>
        <color theme="1"/>
        <rFont val="宋体"/>
        <charset val="134"/>
        <scheme val="minor"/>
      </rPr>
      <t>BUCKmin</t>
    </r>
  </si>
  <si>
    <t>电感电流波动率Δ</t>
  </si>
  <si>
    <r>
      <rPr>
        <sz val="11"/>
        <color theme="1"/>
        <rFont val="宋体"/>
        <charset val="134"/>
        <scheme val="minor"/>
      </rPr>
      <t>ΔI</t>
    </r>
    <r>
      <rPr>
        <vertAlign val="subscript"/>
        <sz val="11"/>
        <color theme="1"/>
        <rFont val="宋体"/>
        <charset val="134"/>
        <scheme val="minor"/>
      </rPr>
      <t>L</t>
    </r>
    <r>
      <rPr>
        <sz val="11"/>
        <color theme="1"/>
        <rFont val="宋体"/>
        <charset val="134"/>
        <scheme val="minor"/>
      </rPr>
      <t>(A)</t>
    </r>
  </si>
  <si>
    <t>BUCK电感(uH)</t>
  </si>
  <si>
    <t>电感饱和电流(A)</t>
  </si>
  <si>
    <t>情况二：BOOST升压模式参数</t>
  </si>
  <si>
    <r>
      <rPr>
        <sz val="11"/>
        <color theme="1"/>
        <rFont val="宋体"/>
        <charset val="134"/>
        <scheme val="minor"/>
      </rPr>
      <t>D</t>
    </r>
    <r>
      <rPr>
        <vertAlign val="subscript"/>
        <sz val="11"/>
        <color theme="1"/>
        <rFont val="宋体"/>
        <charset val="134"/>
        <scheme val="minor"/>
      </rPr>
      <t>bo</t>
    </r>
  </si>
  <si>
    <r>
      <rPr>
        <sz val="11"/>
        <color theme="1"/>
        <rFont val="宋体"/>
        <charset val="134"/>
        <scheme val="minor"/>
      </rPr>
      <t>Boost进入连续模式
I</t>
    </r>
    <r>
      <rPr>
        <vertAlign val="subscript"/>
        <sz val="11"/>
        <color theme="1"/>
        <rFont val="宋体"/>
        <charset val="134"/>
        <scheme val="minor"/>
      </rPr>
      <t>inminb</t>
    </r>
    <r>
      <rPr>
        <sz val="11"/>
        <color theme="1"/>
        <rFont val="宋体"/>
        <charset val="134"/>
        <scheme val="minor"/>
      </rPr>
      <t>（A）</t>
    </r>
  </si>
  <si>
    <r>
      <rPr>
        <sz val="11"/>
        <color theme="1"/>
        <rFont val="宋体"/>
        <charset val="134"/>
        <scheme val="minor"/>
      </rPr>
      <t>L</t>
    </r>
    <r>
      <rPr>
        <vertAlign val="subscript"/>
        <sz val="11"/>
        <color theme="1"/>
        <rFont val="宋体"/>
        <charset val="134"/>
        <scheme val="minor"/>
      </rPr>
      <t>minboost</t>
    </r>
    <r>
      <rPr>
        <sz val="11"/>
        <color theme="1"/>
        <rFont val="宋体"/>
        <charset val="134"/>
        <scheme val="minor"/>
      </rPr>
      <t>(uH)</t>
    </r>
  </si>
  <si>
    <t>步骤三：输出电容计算</t>
  </si>
  <si>
    <r>
      <rPr>
        <sz val="11"/>
        <color theme="1"/>
        <rFont val="宋体"/>
        <charset val="134"/>
        <scheme val="minor"/>
      </rPr>
      <t>输出电压纹波Δ</t>
    </r>
    <r>
      <rPr>
        <vertAlign val="subscript"/>
        <sz val="11"/>
        <color theme="1"/>
        <rFont val="宋体"/>
        <charset val="134"/>
        <scheme val="minor"/>
      </rPr>
      <t>VOUT</t>
    </r>
    <r>
      <rPr>
        <sz val="11"/>
        <color theme="1"/>
        <rFont val="宋体"/>
        <charset val="134"/>
        <scheme val="minor"/>
      </rPr>
      <t>(V)</t>
    </r>
  </si>
  <si>
    <r>
      <rPr>
        <sz val="11"/>
        <color theme="1"/>
        <rFont val="宋体"/>
        <charset val="134"/>
        <scheme val="minor"/>
      </rPr>
      <t>选用的电感L</t>
    </r>
    <r>
      <rPr>
        <vertAlign val="subscript"/>
        <sz val="11"/>
        <color theme="1"/>
        <rFont val="宋体"/>
        <charset val="134"/>
        <scheme val="minor"/>
      </rPr>
      <t>BB</t>
    </r>
    <r>
      <rPr>
        <sz val="11"/>
        <color theme="1"/>
        <rFont val="宋体"/>
        <charset val="134"/>
        <scheme val="minor"/>
      </rPr>
      <t>(uH)</t>
    </r>
  </si>
  <si>
    <r>
      <rPr>
        <sz val="11"/>
        <color theme="1"/>
        <rFont val="宋体"/>
        <charset val="134"/>
        <scheme val="minor"/>
      </rPr>
      <t>BUCK下最小电容C</t>
    </r>
    <r>
      <rPr>
        <vertAlign val="subscript"/>
        <sz val="11"/>
        <color theme="1"/>
        <rFont val="宋体"/>
        <charset val="134"/>
        <scheme val="minor"/>
      </rPr>
      <t>BUCK</t>
    </r>
    <r>
      <rPr>
        <sz val="11"/>
        <color theme="1"/>
        <rFont val="宋体"/>
        <charset val="134"/>
        <scheme val="minor"/>
      </rPr>
      <t>(uF)</t>
    </r>
  </si>
  <si>
    <r>
      <rPr>
        <sz val="11"/>
        <color theme="1"/>
        <rFont val="宋体"/>
        <charset val="134"/>
        <scheme val="minor"/>
      </rPr>
      <t>BOOST下最小电容C</t>
    </r>
    <r>
      <rPr>
        <vertAlign val="subscript"/>
        <sz val="11"/>
        <color theme="1"/>
        <rFont val="宋体"/>
        <charset val="134"/>
        <scheme val="minor"/>
      </rPr>
      <t>BOOST</t>
    </r>
    <r>
      <rPr>
        <sz val="11"/>
        <color theme="1"/>
        <rFont val="宋体"/>
        <charset val="134"/>
        <scheme val="minor"/>
      </rPr>
      <t>(uF)</t>
    </r>
  </si>
  <si>
    <r>
      <rPr>
        <sz val="11"/>
        <color theme="1"/>
        <rFont val="宋体"/>
        <charset val="134"/>
        <scheme val="minor"/>
      </rPr>
      <t>最终电容C</t>
    </r>
    <r>
      <rPr>
        <vertAlign val="subscript"/>
        <sz val="11"/>
        <color theme="1"/>
        <rFont val="宋体"/>
        <charset val="134"/>
        <scheme val="minor"/>
      </rPr>
      <t>out</t>
    </r>
    <r>
      <rPr>
        <sz val="11"/>
        <color theme="1"/>
        <rFont val="宋体"/>
        <charset val="134"/>
        <scheme val="minor"/>
      </rPr>
      <t>(uF)</t>
    </r>
  </si>
  <si>
    <t>步骤四：MOS选型</t>
  </si>
  <si>
    <r>
      <rPr>
        <sz val="11"/>
        <color theme="1"/>
        <rFont val="宋体"/>
        <charset val="134"/>
        <scheme val="minor"/>
      </rPr>
      <t>MOS电流有效值I</t>
    </r>
    <r>
      <rPr>
        <vertAlign val="subscript"/>
        <sz val="11"/>
        <color theme="1"/>
        <rFont val="宋体"/>
        <charset val="134"/>
        <scheme val="minor"/>
      </rPr>
      <t>mos_rms</t>
    </r>
    <r>
      <rPr>
        <sz val="11"/>
        <color theme="1"/>
        <rFont val="宋体"/>
        <charset val="134"/>
        <scheme val="minor"/>
      </rPr>
      <t>(A)</t>
    </r>
  </si>
  <si>
    <t>选型电流I(A)</t>
  </si>
  <si>
    <t>选型电压I(V)</t>
  </si>
  <si>
    <r>
      <rPr>
        <sz val="11"/>
        <color theme="1"/>
        <rFont val="宋体"/>
        <charset val="134"/>
        <scheme val="minor"/>
      </rPr>
      <t>选择低R</t>
    </r>
    <r>
      <rPr>
        <vertAlign val="subscript"/>
        <sz val="11"/>
        <color theme="1"/>
        <rFont val="宋体"/>
        <charset val="134"/>
        <scheme val="minor"/>
      </rPr>
      <t>DSON</t>
    </r>
    <r>
      <rPr>
        <sz val="11"/>
        <color theme="1"/>
        <rFont val="宋体"/>
        <charset val="134"/>
        <scheme val="minor"/>
      </rPr>
      <t>和CISS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</si>
</sst>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tabSelected="1" zoomScale="160" zoomScaleNormal="160" topLeftCell="B1" workbookViewId="0">
      <selection activeCell="K9" sqref="K9"/>
    </sheetView>
  </sheetViews>
  <sheetFormatPr defaultColWidth="8.99082568807339" defaultRowHeight="12.9"/>
  <cols>
    <col min="1" max="1" width="25.1743119266055" style="1" customWidth="1"/>
    <col min="2" max="2" width="18.2935779816514" style="1" customWidth="1"/>
    <col min="3" max="3" width="24.9266055045872" style="1" customWidth="1"/>
    <col min="4" max="4" width="26.9174311926606" style="1" customWidth="1"/>
    <col min="5" max="5" width="17.1834862385321" style="1" customWidth="1"/>
    <col min="6" max="6" width="8.4954128440367" style="1" customWidth="1"/>
    <col min="7" max="10" width="11.6146788990826" style="1" customWidth="1"/>
    <col min="11" max="11" width="9.85321100917431" style="1" customWidth="1"/>
    <col min="12" max="12" width="22.8073394495413" style="1" customWidth="1"/>
    <col min="13" max="13" width="16.697247706422" style="1" customWidth="1"/>
    <col min="14" max="16384" width="8.99082568807339" style="1"/>
  </cols>
  <sheetData>
    <row r="1" ht="15.6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>
        <v>30</v>
      </c>
      <c r="B2" s="1">
        <v>3</v>
      </c>
      <c r="C2" s="1">
        <v>10</v>
      </c>
      <c r="D2" s="1">
        <v>6</v>
      </c>
      <c r="E2" s="1">
        <v>0</v>
      </c>
      <c r="F2" s="1">
        <v>450</v>
      </c>
      <c r="G2" s="1">
        <v>48</v>
      </c>
      <c r="H2" s="1">
        <v>5</v>
      </c>
      <c r="I2" s="1">
        <v>10</v>
      </c>
      <c r="J2" s="1">
        <v>0</v>
      </c>
      <c r="K2" s="1">
        <f>I2/2</f>
        <v>5</v>
      </c>
      <c r="L2" s="1">
        <f>I2*0.5%</f>
        <v>0.05</v>
      </c>
      <c r="M2" s="1">
        <v>600</v>
      </c>
    </row>
    <row r="4" spans="1:13">
      <c r="A4" s="1" t="s">
        <v>13</v>
      </c>
    </row>
    <row r="5" ht="15.6" spans="1:13">
      <c r="A5" s="2" t="s">
        <v>14</v>
      </c>
      <c r="B5" s="2" t="s">
        <v>15</v>
      </c>
      <c r="C5" s="2" t="s">
        <v>16</v>
      </c>
      <c r="D5" s="1" t="s">
        <v>17</v>
      </c>
      <c r="E5" s="1" t="s">
        <v>18</v>
      </c>
    </row>
    <row r="6" spans="1:13">
      <c r="A6" s="3">
        <f>H2/A2</f>
        <v>0.166666666666667</v>
      </c>
      <c r="B6" s="3">
        <v>0.25</v>
      </c>
      <c r="C6" s="1">
        <f>B6*I2</f>
        <v>2.5</v>
      </c>
      <c r="D6" s="4">
        <f>H2*(1-A6)/(C6*M2)*1000</f>
        <v>2.77777777777778</v>
      </c>
      <c r="E6" s="1">
        <f>(I2+C6/2)*1.2</f>
        <v>13.5</v>
      </c>
    </row>
    <row r="7" spans="1:13">
      <c r="A7" s="1" t="s">
        <v>19</v>
      </c>
    </row>
    <row r="9" ht="28.55" spans="1:13">
      <c r="A9" s="2" t="s">
        <v>20</v>
      </c>
      <c r="B9" s="5" t="s">
        <v>21</v>
      </c>
      <c r="C9" s="2" t="s">
        <v>22</v>
      </c>
      <c r="D9" s="1" t="s">
        <v>18</v>
      </c>
    </row>
    <row r="10" spans="1:13">
      <c r="A10" s="3">
        <f>1-C2/G2</f>
        <v>0.791666666666667</v>
      </c>
      <c r="B10" s="1">
        <v>1</v>
      </c>
      <c r="C10" s="4">
        <f>(G2*A10*(1-A10)*(1-A10))/(2*B10*M2)*1000</f>
        <v>1.3744212962963</v>
      </c>
      <c r="D10" s="4">
        <f>E6</f>
        <v>13.5</v>
      </c>
    </row>
    <row r="11" spans="1:13">
      <c r="A11" s="1" t="s">
        <v>23</v>
      </c>
    </row>
    <row r="12" ht="15.6" spans="1:13">
      <c r="A12" s="2" t="s">
        <v>24</v>
      </c>
      <c r="B12" s="2" t="s">
        <v>25</v>
      </c>
      <c r="C12" s="2" t="s">
        <v>26</v>
      </c>
      <c r="D12" s="2" t="s">
        <v>27</v>
      </c>
      <c r="E12" s="2" t="s">
        <v>28</v>
      </c>
    </row>
    <row r="13" spans="1:13">
      <c r="A13" s="1">
        <v>0.05</v>
      </c>
      <c r="B13" s="1">
        <v>22</v>
      </c>
      <c r="C13" s="1">
        <f>(H2*(1-H2/A2))/(8*B13*A13*M2*M2)*1000000</f>
        <v>1.31523569023569</v>
      </c>
      <c r="D13" s="1">
        <f>(K2*(1-B2/G2))/(A13*M2)*1000</f>
        <v>156.25</v>
      </c>
      <c r="E13" s="1">
        <f>MAX(C13,D13)*1.2</f>
        <v>187.5</v>
      </c>
    </row>
    <row r="14" spans="1:13">
      <c r="A14" s="1" t="s">
        <v>29</v>
      </c>
    </row>
    <row r="15" ht="15.6" spans="1:13">
      <c r="A15" s="2" t="s">
        <v>30</v>
      </c>
      <c r="B15" s="1" t="s">
        <v>31</v>
      </c>
      <c r="C15" s="1" t="s">
        <v>32</v>
      </c>
      <c r="D15" s="2" t="s">
        <v>33</v>
      </c>
    </row>
    <row r="16" spans="1:13">
      <c r="A16" s="1">
        <f>SQRT(A10*(I2*I2+C6*C6/12))</f>
        <v>8.9207058608361</v>
      </c>
      <c r="B16" s="1">
        <f>A16*1.5</f>
        <v>13.3810587912541</v>
      </c>
      <c r="C16" s="1">
        <f>A2*1.5</f>
        <v>45</v>
      </c>
    </row>
  </sheetData>
  <mergeCells count="5">
    <mergeCell ref="A4:J4"/>
    <mergeCell ref="A7:J7"/>
    <mergeCell ref="A11:J11"/>
    <mergeCell ref="A14:J14"/>
    <mergeCell ref="D15:D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wan20</dc:creator>
  <cp:lastModifiedBy>无言尽语</cp:lastModifiedBy>
  <dcterms:created xsi:type="dcterms:W3CDTF">2026-03-25T05:39:00Z</dcterms:created>
  <dcterms:modified xsi:type="dcterms:W3CDTF">2026-04-11T13:47:22Z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A403D7A3FD254340B30787DCC9271073_11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